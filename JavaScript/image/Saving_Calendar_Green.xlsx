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Jul 2026" sheetId="2" state="visible" r:id="rId4"/>
    <sheet name="Aug 2026" sheetId="3" state="visible" r:id="rId5"/>
    <sheet name="Sep 2026" sheetId="4" state="visible" r:id="rId6"/>
    <sheet name="Oct 2026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<sst xmlns="http://schemas.openxmlformats.org/spreadsheetml/2006/main" count="52" uniqueCount="22">
  <si>
    <t xml:space="preserve">DAILY SAVING CALENDAR</t>
  </si>
  <si>
    <t xml:space="preserve">Change the yellow cells — every month calendar updates automatically</t>
  </si>
  <si>
    <t xml:space="preserve">Start Date</t>
  </si>
  <si>
    <t xml:space="preserve">Number of Days</t>
  </si>
  <si>
    <t xml:space="preserve">Day 1 Amount ($)</t>
  </si>
  <si>
    <t xml:space="preserve">Daily Increase ($)</t>
  </si>
  <si>
    <t xml:space="preserve">Total Goal (if every day saved)</t>
  </si>
  <si>
    <t xml:space="preserve">Each month has its own calendar tab. Every day box shows the day number and the amount to save that day. Type Y in the small box under the amount once you've actually saved it — the weekly and monthly totals add up automatically. NOTE: changing the Start Date here moves which days count toward your challenge, but the calendar tabs still show real calendar months — add more month tabs if your challenge runs longer.</t>
  </si>
  <si>
    <t xml:space="preserve">JULY 2026</t>
  </si>
  <si>
    <t xml:space="preserve">Sunday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</si>
  <si>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</si>
  <si>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</si>
  <si>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</si>
  <si>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</si>
  <si>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</si>
  <si>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</si>
  <si>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Week Total</t>
  </si>
  <si>
    <t xml:space="preserve">MONTHLY TOTAL SAVED</t>
  </si>
  <si>
    <t xml:space="preserve">Type Y in the small yellow box under an amount once you've saved it that day.</t>
  </si>
  <si>
    <t xml:space="preserve">AUGUST 2026</t>
  </si>
  <si>
    <t xml:space="preserve">SEPTEMBER 2026</t>
  </si>
  <si>
    <t xml:space="preserve">OCTOBER 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</si>
</sst>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"/>
    <numFmt numFmtId="167" formatCode="\$#,##0.00"/>
    <numFmt numFmtId="168" formatCode="\$#,##0.00;&quot;($&quot;#,##0.00\);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3"/>
      <color rgb="FF1E8F68"/>
      <name val="Arial"/>
      <family val="0"/>
      <charset val="1"/>
    </font>
    <font>
      <b val="true"/>
      <sz val="13"/>
      <name val="Arial"/>
      <family val="0"/>
      <charset val="1"/>
    </font>
    <font>
      <sz val="13"/>
      <color rgb="FF0000FF"/>
      <name val="Arial"/>
      <family val="0"/>
      <charset val="1"/>
    </font>
    <font>
      <b val="true"/>
      <sz val="15"/>
      <color rgb="FF1E8F68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3"/>
      <color rgb="FF1E8F68"/>
      <name val="Arial"/>
      <family val="0"/>
      <charset val="1"/>
    </font>
    <font>
      <b val="true"/>
      <sz val="12"/>
      <color rgb="FF6B6B6B"/>
      <name val="Arial"/>
      <family val="0"/>
      <charset val="1"/>
    </font>
    <font>
      <b val="true"/>
      <sz val="16"/>
      <color rgb="FF1E8F68"/>
      <name val="Arial"/>
      <family val="0"/>
      <charset val="1"/>
    </font>
    <font>
      <b val="true"/>
      <sz val="14"/>
      <color rgb="FF0000FF"/>
      <name val="Arial"/>
      <family val="0"/>
      <charset val="1"/>
    </font>
    <font>
      <b val="true"/>
      <sz val="16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FBF8F"/>
        <bgColor rgb="FF1E8F68"/>
      </patternFill>
    </fill>
    <fill>
      <patternFill patternType="solid">
        <fgColor rgb="FFDFF7EC"/>
        <bgColor rgb="FFD2F2E6"/>
      </patternFill>
    </fill>
    <fill>
      <patternFill patternType="solid">
        <fgColor rgb="FFFFF2CC"/>
        <bgColor rgb="FFF2F2F2"/>
      </patternFill>
    </fill>
    <fill>
      <patternFill patternType="solid">
        <fgColor rgb="FFC9F2E0"/>
        <bgColor rgb="FFD2F2E6"/>
      </patternFill>
    </fill>
    <fill>
      <patternFill patternType="solid">
        <fgColor rgb="FFF2F2F2"/>
        <bgColor rgb="FFEFFBF6"/>
      </patternFill>
    </fill>
    <fill>
      <patternFill patternType="solid">
        <fgColor rgb="FFEFFBF6"/>
        <bgColor rgb="FFF2F2F2"/>
      </patternFill>
    </fill>
    <fill>
      <patternFill patternType="solid">
        <fgColor rgb="FFD2F2E6"/>
        <bgColor rgb="FFC9F2E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9FE0C6"/>
      </left>
      <right style="thin">
        <color rgb="FF9FE0C6"/>
      </right>
      <top style="thin">
        <color rgb="FF9FE0C6"/>
      </top>
      <bottom style="thin">
        <color rgb="FF9FE0C6"/>
      </bottom>
      <diagonal/>
    </border>
    <border diagonalUp="false" diagonalDown="false">
      <left style="thin">
        <color rgb="FF9FE0C6"/>
      </left>
      <right style="thin">
        <color rgb="FF9FE0C6"/>
      </right>
      <top style="thin">
        <color rgb="FF9FE0C6"/>
      </top>
      <bottom/>
      <diagonal/>
    </border>
    <border diagonalUp="false" diagonalDown="false">
      <left style="medium">
        <color rgb="FF1E8F68"/>
      </left>
      <right style="medium">
        <color rgb="FF1E8F68"/>
      </right>
      <top style="medium">
        <color rgb="FF1E8F68"/>
      </top>
      <bottom style="medium">
        <color rgb="FF1E8F68"/>
      </bottom>
      <diagonal/>
    </border>
    <border diagonalUp="false" diagonalDown="false">
      <left style="thin">
        <color rgb="FF9FE0C6"/>
      </left>
      <right/>
      <top style="thin">
        <color rgb="FF9FE0C6"/>
      </top>
      <bottom style="thin">
        <color rgb="FF9FE0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2F2E6"/>
      <rgbColor rgb="FF660066"/>
      <rgbColor rgb="FFFF8080"/>
      <rgbColor rgb="FF0066CC"/>
      <rgbColor rgb="FFEFFB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FF7EC"/>
      <rgbColor rgb="FFC9F2E0"/>
      <rgbColor rgb="FFF2F2F2"/>
      <rgbColor rgb="FF9FE0C6"/>
      <rgbColor rgb="FFFF99CC"/>
      <rgbColor rgb="FFCC99FF"/>
      <rgbColor rgb="FFFFCC99"/>
      <rgbColor rgb="FF3366FF"/>
      <rgbColor rgb="FF2FBF8F"/>
      <rgbColor rgb="FF99CC00"/>
      <rgbColor rgb="FFFFCC00"/>
      <rgbColor rgb="FFFF9900"/>
      <rgbColor rgb="FFFF6600"/>
      <rgbColor rgb="FF6B6B6B"/>
      <rgbColor rgb="FF969696"/>
      <rgbColor rgb="FF003366"/>
      <rgbColor rgb="FF1E8F68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22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</row>
    <row r="4" customFormat="false" ht="25.5" hidden="false" customHeight="true" outlineLevel="0" collapsed="false">
      <c r="A4" s="3" t="s">
        <v>2</v>
      </c>
      <c r="B4" s="4" t="n">
        <v>46209</v>
      </c>
    </row>
    <row r="5" customFormat="false" ht="25.5" hidden="false" customHeight="true" outlineLevel="0" collapsed="false">
      <c r="A5" s="3" t="s">
        <v>3</v>
      </c>
      <c r="B5" s="5" t="n">
        <v>100</v>
      </c>
    </row>
    <row r="6" customFormat="false" ht="25.5" hidden="false" customHeight="true" outlineLevel="0" collapsed="false">
      <c r="A6" s="3" t="s">
        <v>4</v>
      </c>
      <c r="B6" s="6" t="n">
        <v>1</v>
      </c>
    </row>
    <row r="7" customFormat="false" ht="25.5" hidden="false" customHeight="true" outlineLevel="0" collapsed="false">
      <c r="A7" s="3" t="s">
        <v>5</v>
      </c>
      <c r="B7" s="6" t="n">
        <v>1</v>
      </c>
    </row>
    <row r="9" customFormat="false" ht="30" hidden="false" customHeight="true" outlineLevel="0" collapsed="false">
      <c r="A9" s="7" t="s">
        <v>6</v>
      </c>
      <c r="B9" s="8" t="n">
        <f aca="true">SUMPRODUCT((ROW(INDIRECT("1:"&amp;B5))-1)*B7+B6)</f>
        <v>5050</v>
      </c>
    </row>
    <row r="11" customFormat="false" ht="15" hidden="false" customHeight="true" outlineLevel="0" collapsed="false">
      <c r="A11" s="9" t="s">
        <v>7</v>
      </c>
      <c r="B11" s="9"/>
      <c r="C11" s="9"/>
      <c r="D11" s="9"/>
      <c r="E11" s="9"/>
    </row>
    <row r="12" customFormat="false" ht="15" hidden="false" customHeight="false" outlineLevel="0" collapsed="false">
      <c r="A12" s="9"/>
      <c r="B12" s="9"/>
      <c r="C12" s="9"/>
      <c r="D12" s="9"/>
      <c r="E12" s="9"/>
    </row>
    <row r="13" customFormat="false" ht="15" hidden="false" customHeight="false" outlineLevel="0" collapsed="false">
      <c r="A13" s="9"/>
      <c r="B13" s="9"/>
      <c r="C13" s="9"/>
      <c r="D13" s="9"/>
      <c r="E13" s="9"/>
    </row>
  </sheetData>
  <mergeCells count="3">
    <mergeCell ref="A1:E1"/>
    <mergeCell ref="A2:E2"/>
    <mergeCell ref="A11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0"/>
    <col collapsed="false" customWidth="true" hidden="false" outlineLevel="0" max="8" min="8" style="0" width="18"/>
  </cols>
  <sheetData>
    <row r="1" customFormat="false" ht="45.75" hidden="false" customHeight="true" outlineLevel="0" collapsed="false">
      <c r="A1" s="10" t="s">
        <v>8</v>
      </c>
      <c r="B1" s="10"/>
      <c r="C1" s="10"/>
      <c r="D1" s="10"/>
      <c r="E1" s="10"/>
      <c r="F1" s="10"/>
      <c r="G1" s="10"/>
      <c r="H1" s="10"/>
    </row>
    <row r="2" customFormat="false" ht="25.5" hidden="false" customHeight="true" outlineLevel="0" collapsed="false">
      <c r="A2" s="11" t="s">
        <v>9</v>
      </c>
      <c r="B2" s="11" t="s">
        <v>10</v>
      </c>
      <c r="C2" s="11" t="s">
        <v>11</v>
      </c>
      <c r="D2" s="11" t="s">
        <v>12</v>
      </c>
      <c r="E2" s="11" t="s">
        <v>13</v>
      </c>
      <c r="F2" s="11" t="s">
        <v>14</v>
      </c>
      <c r="G2" s="11" t="s">
        <v>15</v>
      </c>
      <c r="H2" s="12" t="s">
        <v>16</v>
      </c>
    </row>
    <row r="3" customFormat="false" ht="24" hidden="false" customHeight="true" outlineLevel="0" collapsed="false">
      <c r="A3" s="13"/>
      <c r="B3" s="13"/>
      <c r="C3" s="13"/>
      <c r="D3" s="14" t="n">
        <v>1</v>
      </c>
      <c r="E3" s="14" t="n">
        <v>2</v>
      </c>
      <c r="F3" s="14" t="n">
        <v>3</v>
      </c>
      <c r="G3" s="15" t="n">
        <v>4</v>
      </c>
      <c r="H3" s="16" t="n">
        <f aca="false">SUMPRODUCT((UPPER(A5:G5)="Y")*IF(A4:G4="",0,A4:G4))</f>
        <v>0</v>
      </c>
    </row>
    <row r="4" customFormat="false" ht="33.75" hidden="false" customHeight="true" outlineLevel="0" collapsed="false">
      <c r="A4" s="13"/>
      <c r="B4" s="13"/>
      <c r="C4" s="13"/>
      <c r="D4" s="17" t="str">
        <f aca="false">IF(AND(DATE(2026,7,1)&gt;=Setup!$B$4,DATE(2026,7,1)&lt;=Setup!$B$4+Setup!$B$5-1),Setup!$B$6+(DATE(2026,7,1)-Setup!$B$4)*Setup!$B$7,"")</f>
        <v/>
      </c>
      <c r="E4" s="17" t="str">
        <f aca="false">IF(AND(DATE(2026,7,2)&gt;=Setup!$B$4,DATE(2026,7,2)&lt;=Setup!$B$4+Setup!$B$5-1),Setup!$B$6+(DATE(2026,7,2)-Setup!$B$4)*Setup!$B$7,"")</f>
        <v/>
      </c>
      <c r="F4" s="17" t="str">
        <f aca="false">IF(AND(DATE(2026,7,3)&gt;=Setup!$B$4,DATE(2026,7,3)&lt;=Setup!$B$4+Setup!$B$5-1),Setup!$B$6+(DATE(2026,7,3)-Setup!$B$4)*Setup!$B$7,"")</f>
        <v/>
      </c>
      <c r="G4" s="18" t="str">
        <f aca="false">IF(AND(DATE(2026,7,4)&gt;=Setup!$B$4,DATE(2026,7,4)&lt;=Setup!$B$4+Setup!$B$5-1),Setup!$B$6+(DATE(2026,7,4)-Setup!$B$4)*Setup!$B$7,"")</f>
        <v/>
      </c>
      <c r="H4" s="16"/>
    </row>
    <row r="5" customFormat="false" ht="30" hidden="false" customHeight="true" outlineLevel="0" collapsed="false">
      <c r="A5" s="13"/>
      <c r="B5" s="13"/>
      <c r="C5" s="13"/>
      <c r="D5" s="19"/>
      <c r="E5" s="19"/>
      <c r="F5" s="19"/>
      <c r="G5" s="19"/>
      <c r="H5" s="16"/>
    </row>
    <row r="6" customFormat="false" ht="24" hidden="false" customHeight="true" outlineLevel="0" collapsed="false">
      <c r="A6" s="15" t="n">
        <v>5</v>
      </c>
      <c r="B6" s="14" t="n">
        <v>6</v>
      </c>
      <c r="C6" s="14" t="n">
        <v>7</v>
      </c>
      <c r="D6" s="14" t="n">
        <v>8</v>
      </c>
      <c r="E6" s="14" t="n">
        <v>9</v>
      </c>
      <c r="F6" s="14" t="n">
        <v>10</v>
      </c>
      <c r="G6" s="15" t="n">
        <v>11</v>
      </c>
      <c r="H6" s="16" t="n">
        <f aca="false">SUMPRODUCT((UPPER(A8:G8)="Y")*IF(A7:G7="",0,A7:G7))</f>
        <v>0</v>
      </c>
    </row>
    <row r="7" customFormat="false" ht="33.75" hidden="false" customHeight="true" outlineLevel="0" collapsed="false">
      <c r="A7" s="18" t="str">
        <f aca="false">IF(AND(DATE(2026,7,5)&gt;=Setup!$B$4,DATE(2026,7,5)&lt;=Setup!$B$4+Setup!$B$5-1),Setup!$B$6+(DATE(2026,7,5)-Setup!$B$4)*Setup!$B$7,"")</f>
        <v/>
      </c>
      <c r="B7" s="17" t="n">
        <f aca="false">IF(AND(DATE(2026,7,6)&gt;=Setup!$B$4,DATE(2026,7,6)&lt;=Setup!$B$4+Setup!$B$5-1),Setup!$B$6+(DATE(2026,7,6)-Setup!$B$4)*Setup!$B$7,"")</f>
        <v>1</v>
      </c>
      <c r="C7" s="17" t="n">
        <f aca="false">IF(AND(DATE(2026,7,7)&gt;=Setup!$B$4,DATE(2026,7,7)&lt;=Setup!$B$4+Setup!$B$5-1),Setup!$B$6+(DATE(2026,7,7)-Setup!$B$4)*Setup!$B$7,"")</f>
        <v>2</v>
      </c>
      <c r="D7" s="17" t="n">
        <f aca="false">IF(AND(DATE(2026,7,8)&gt;=Setup!$B$4,DATE(2026,7,8)&lt;=Setup!$B$4+Setup!$B$5-1),Setup!$B$6+(DATE(2026,7,8)-Setup!$B$4)*Setup!$B$7,"")</f>
        <v>3</v>
      </c>
      <c r="E7" s="17" t="n">
        <f aca="false">IF(AND(DATE(2026,7,9)&gt;=Setup!$B$4,DATE(2026,7,9)&lt;=Setup!$B$4+Setup!$B$5-1),Setup!$B$6+(DATE(2026,7,9)-Setup!$B$4)*Setup!$B$7,"")</f>
        <v>4</v>
      </c>
      <c r="F7" s="17" t="n">
        <f aca="false">IF(AND(DATE(2026,7,10)&gt;=Setup!$B$4,DATE(2026,7,10)&lt;=Setup!$B$4+Setup!$B$5-1),Setup!$B$6+(DATE(2026,7,10)-Setup!$B$4)*Setup!$B$7,"")</f>
        <v>5</v>
      </c>
      <c r="G7" s="18" t="n">
        <f aca="false">IF(AND(DATE(2026,7,11)&gt;=Setup!$B$4,DATE(2026,7,11)&lt;=Setup!$B$4+Setup!$B$5-1),Setup!$B$6+(DATE(2026,7,11)-Setup!$B$4)*Setup!$B$7,"")</f>
        <v>6</v>
      </c>
      <c r="H7" s="16"/>
    </row>
    <row r="8" customFormat="false" ht="30" hidden="false" customHeight="true" outlineLevel="0" collapsed="false">
      <c r="A8" s="19"/>
      <c r="B8" s="19"/>
      <c r="C8" s="19"/>
      <c r="D8" s="19"/>
      <c r="E8" s="19"/>
      <c r="F8" s="19"/>
      <c r="G8" s="19"/>
      <c r="H8" s="16"/>
    </row>
    <row r="9" customFormat="false" ht="24" hidden="false" customHeight="true" outlineLevel="0" collapsed="false">
      <c r="A9" s="15" t="n">
        <v>12</v>
      </c>
      <c r="B9" s="14" t="n">
        <v>13</v>
      </c>
      <c r="C9" s="14" t="n">
        <v>14</v>
      </c>
      <c r="D9" s="14" t="n">
        <v>15</v>
      </c>
      <c r="E9" s="14" t="n">
        <v>16</v>
      </c>
      <c r="F9" s="14" t="n">
        <v>17</v>
      </c>
      <c r="G9" s="15" t="n">
        <v>18</v>
      </c>
      <c r="H9" s="16" t="n">
        <f aca="false">SUMPRODUCT((UPPER(A11:G11)="Y")*IF(A10:G10="",0,A10:G10))</f>
        <v>0</v>
      </c>
    </row>
    <row r="10" customFormat="false" ht="33.75" hidden="false" customHeight="true" outlineLevel="0" collapsed="false">
      <c r="A10" s="18" t="n">
        <f aca="false">IF(AND(DATE(2026,7,12)&gt;=Setup!$B$4,DATE(2026,7,12)&lt;=Setup!$B$4+Setup!$B$5-1),Setup!$B$6+(DATE(2026,7,12)-Setup!$B$4)*Setup!$B$7,"")</f>
        <v>7</v>
      </c>
      <c r="B10" s="17" t="n">
        <f aca="false">IF(AND(DATE(2026,7,13)&gt;=Setup!$B$4,DATE(2026,7,13)&lt;=Setup!$B$4+Setup!$B$5-1),Setup!$B$6+(DATE(2026,7,13)-Setup!$B$4)*Setup!$B$7,"")</f>
        <v>8</v>
      </c>
      <c r="C10" s="17" t="n">
        <f aca="false">IF(AND(DATE(2026,7,14)&gt;=Setup!$B$4,DATE(2026,7,14)&lt;=Setup!$B$4+Setup!$B$5-1),Setup!$B$6+(DATE(2026,7,14)-Setup!$B$4)*Setup!$B$7,"")</f>
        <v>9</v>
      </c>
      <c r="D10" s="17" t="n">
        <f aca="false">IF(AND(DATE(2026,7,15)&gt;=Setup!$B$4,DATE(2026,7,15)&lt;=Setup!$B$4+Setup!$B$5-1),Setup!$B$6+(DATE(2026,7,15)-Setup!$B$4)*Setup!$B$7,"")</f>
        <v>10</v>
      </c>
      <c r="E10" s="17" t="n">
        <f aca="false">IF(AND(DATE(2026,7,16)&gt;=Setup!$B$4,DATE(2026,7,16)&lt;=Setup!$B$4+Setup!$B$5-1),Setup!$B$6+(DATE(2026,7,16)-Setup!$B$4)*Setup!$B$7,"")</f>
        <v>11</v>
      </c>
      <c r="F10" s="17" t="n">
        <f aca="false">IF(AND(DATE(2026,7,17)&gt;=Setup!$B$4,DATE(2026,7,17)&lt;=Setup!$B$4+Setup!$B$5-1),Setup!$B$6+(DATE(2026,7,17)-Setup!$B$4)*Setup!$B$7,"")</f>
        <v>12</v>
      </c>
      <c r="G10" s="18" t="n">
        <f aca="false">IF(AND(DATE(2026,7,18)&gt;=Setup!$B$4,DATE(2026,7,18)&lt;=Setup!$B$4+Setup!$B$5-1),Setup!$B$6+(DATE(2026,7,18)-Setup!$B$4)*Setup!$B$7,"")</f>
        <v>13</v>
      </c>
      <c r="H10" s="16"/>
    </row>
    <row r="11" customFormat="false" ht="30" hidden="false" customHeight="true" outlineLevel="0" collapsed="false">
      <c r="A11" s="19"/>
      <c r="B11" s="19"/>
      <c r="C11" s="19"/>
      <c r="D11" s="19"/>
      <c r="E11" s="19"/>
      <c r="F11" s="19"/>
      <c r="G11" s="19"/>
      <c r="H11" s="16"/>
    </row>
    <row r="12" customFormat="false" ht="24" hidden="false" customHeight="true" outlineLevel="0" collapsed="false">
      <c r="A12" s="15" t="n">
        <v>19</v>
      </c>
      <c r="B12" s="14" t="n">
        <v>20</v>
      </c>
      <c r="C12" s="14" t="n">
        <v>21</v>
      </c>
      <c r="D12" s="14" t="n">
        <v>22</v>
      </c>
      <c r="E12" s="14" t="n">
        <v>23</v>
      </c>
      <c r="F12" s="14" t="n">
        <v>24</v>
      </c>
      <c r="G12" s="15" t="n">
        <v>25</v>
      </c>
      <c r="H12" s="16" t="n">
        <f aca="false">SUMPRODUCT((UPPER(A14:G14)="Y")*IF(A13:G13="",0,A13:G13))</f>
        <v>0</v>
      </c>
    </row>
    <row r="13" customFormat="false" ht="33.75" hidden="false" customHeight="true" outlineLevel="0" collapsed="false">
      <c r="A13" s="18" t="n">
        <f aca="false">IF(AND(DATE(2026,7,19)&gt;=Setup!$B$4,DATE(2026,7,19)&lt;=Setup!$B$4+Setup!$B$5-1),Setup!$B$6+(DATE(2026,7,19)-Setup!$B$4)*Setup!$B$7,"")</f>
        <v>14</v>
      </c>
      <c r="B13" s="17" t="n">
        <f aca="false">IF(AND(DATE(2026,7,20)&gt;=Setup!$B$4,DATE(2026,7,20)&lt;=Setup!$B$4+Setup!$B$5-1),Setup!$B$6+(DATE(2026,7,20)-Setup!$B$4)*Setup!$B$7,"")</f>
        <v>15</v>
      </c>
      <c r="C13" s="17" t="n">
        <f aca="false">IF(AND(DATE(2026,7,21)&gt;=Setup!$B$4,DATE(2026,7,21)&lt;=Setup!$B$4+Setup!$B$5-1),Setup!$B$6+(DATE(2026,7,21)-Setup!$B$4)*Setup!$B$7,"")</f>
        <v>16</v>
      </c>
      <c r="D13" s="17" t="n">
        <f aca="false">IF(AND(DATE(2026,7,22)&gt;=Setup!$B$4,DATE(2026,7,22)&lt;=Setup!$B$4+Setup!$B$5-1),Setup!$B$6+(DATE(2026,7,22)-Setup!$B$4)*Setup!$B$7,"")</f>
        <v>17</v>
      </c>
      <c r="E13" s="17" t="n">
        <f aca="false">IF(AND(DATE(2026,7,23)&gt;=Setup!$B$4,DATE(2026,7,23)&lt;=Setup!$B$4+Setup!$B$5-1),Setup!$B$6+(DATE(2026,7,23)-Setup!$B$4)*Setup!$B$7,"")</f>
        <v>18</v>
      </c>
      <c r="F13" s="17" t="n">
        <f aca="false">IF(AND(DATE(2026,7,24)&gt;=Setup!$B$4,DATE(2026,7,24)&lt;=Setup!$B$4+Setup!$B$5-1),Setup!$B$6+(DATE(2026,7,24)-Setup!$B$4)*Setup!$B$7,"")</f>
        <v>19</v>
      </c>
      <c r="G13" s="18" t="n">
        <f aca="false">IF(AND(DATE(2026,7,25)&gt;=Setup!$B$4,DATE(2026,7,25)&lt;=Setup!$B$4+Setup!$B$5-1),Setup!$B$6+(DATE(2026,7,25)-Setup!$B$4)*Setup!$B$7,"")</f>
        <v>20</v>
      </c>
      <c r="H13" s="16"/>
    </row>
    <row r="14" customFormat="false" ht="30" hidden="false" customHeight="true" outlineLevel="0" collapsed="false">
      <c r="A14" s="19"/>
      <c r="B14" s="19"/>
      <c r="C14" s="19"/>
      <c r="D14" s="19"/>
      <c r="E14" s="19"/>
      <c r="F14" s="19"/>
      <c r="G14" s="19"/>
      <c r="H14" s="16"/>
    </row>
    <row r="15" customFormat="false" ht="24" hidden="false" customHeight="true" outlineLevel="0" collapsed="false">
      <c r="A15" s="15" t="n">
        <v>26</v>
      </c>
      <c r="B15" s="14" t="n">
        <v>27</v>
      </c>
      <c r="C15" s="14" t="n">
        <v>28</v>
      </c>
      <c r="D15" s="14" t="n">
        <v>29</v>
      </c>
      <c r="E15" s="14" t="n">
        <v>30</v>
      </c>
      <c r="F15" s="14" t="n">
        <v>31</v>
      </c>
      <c r="G15" s="13"/>
      <c r="H15" s="16" t="n">
        <f aca="false">SUMPRODUCT((UPPER(A17:G17)="Y")*IF(A16:G16="",0,A16:G16))</f>
        <v>0</v>
      </c>
    </row>
    <row r="16" customFormat="false" ht="33.75" hidden="false" customHeight="true" outlineLevel="0" collapsed="false">
      <c r="A16" s="18" t="n">
        <f aca="false">IF(AND(DATE(2026,7,26)&gt;=Setup!$B$4,DATE(2026,7,26)&lt;=Setup!$B$4+Setup!$B$5-1),Setup!$B$6+(DATE(2026,7,26)-Setup!$B$4)*Setup!$B$7,"")</f>
        <v>21</v>
      </c>
      <c r="B16" s="17" t="n">
        <f aca="false">IF(AND(DATE(2026,7,27)&gt;=Setup!$B$4,DATE(2026,7,27)&lt;=Setup!$B$4+Setup!$B$5-1),Setup!$B$6+(DATE(2026,7,27)-Setup!$B$4)*Setup!$B$7,"")</f>
        <v>22</v>
      </c>
      <c r="C16" s="17" t="n">
        <f aca="false">IF(AND(DATE(2026,7,28)&gt;=Setup!$B$4,DATE(2026,7,28)&lt;=Setup!$B$4+Setup!$B$5-1),Setup!$B$6+(DATE(2026,7,28)-Setup!$B$4)*Setup!$B$7,"")</f>
        <v>23</v>
      </c>
      <c r="D16" s="17" t="n">
        <f aca="false">IF(AND(DATE(2026,7,29)&gt;=Setup!$B$4,DATE(2026,7,29)&lt;=Setup!$B$4+Setup!$B$5-1),Setup!$B$6+(DATE(2026,7,29)-Setup!$B$4)*Setup!$B$7,"")</f>
        <v>24</v>
      </c>
      <c r="E16" s="17" t="n">
        <f aca="false">IF(AND(DATE(2026,7,30)&gt;=Setup!$B$4,DATE(2026,7,30)&lt;=Setup!$B$4+Setup!$B$5-1),Setup!$B$6+(DATE(2026,7,30)-Setup!$B$4)*Setup!$B$7,"")</f>
        <v>25</v>
      </c>
      <c r="F16" s="17" t="n">
        <f aca="false">IF(AND(DATE(2026,7,31)&gt;=Setup!$B$4,DATE(2026,7,31)&lt;=Setup!$B$4+Setup!$B$5-1),Setup!$B$6+(DATE(2026,7,31)-Setup!$B$4)*Setup!$B$7,"")</f>
        <v>26</v>
      </c>
      <c r="G16" s="13"/>
      <c r="H16" s="16"/>
    </row>
    <row r="17" customFormat="false" ht="30" hidden="false" customHeight="true" outlineLevel="0" collapsed="false">
      <c r="A17" s="19"/>
      <c r="B17" s="19"/>
      <c r="C17" s="19"/>
      <c r="D17" s="19"/>
      <c r="E17" s="19"/>
      <c r="F17" s="19"/>
      <c r="G17" s="13"/>
      <c r="H17" s="16"/>
    </row>
    <row r="18" customFormat="false" ht="31.5" hidden="false" customHeight="true" outlineLevel="0" collapsed="false">
      <c r="A18" s="20" t="s">
        <v>17</v>
      </c>
      <c r="B18" s="20"/>
      <c r="C18" s="20"/>
      <c r="D18" s="20"/>
      <c r="E18" s="20"/>
      <c r="F18" s="20"/>
      <c r="G18" s="20"/>
      <c r="H18" s="21" t="n">
        <f aca="false">H3+H6+H9+H12+H15</f>
        <v>0</v>
      </c>
    </row>
    <row r="20" customFormat="false" ht="21.75" hidden="false" customHeight="true" outlineLevel="0" collapsed="false">
      <c r="A20" s="22" t="s">
        <v>18</v>
      </c>
      <c r="B20" s="22"/>
      <c r="C20" s="22"/>
      <c r="D20" s="22"/>
      <c r="E20" s="22"/>
      <c r="F20" s="22"/>
      <c r="G20" s="22"/>
      <c r="H20" s="22"/>
    </row>
  </sheetData>
  <mergeCells count="8">
    <mergeCell ref="A1:H1"/>
    <mergeCell ref="H3:H5"/>
    <mergeCell ref="H6:H8"/>
    <mergeCell ref="H9:H11"/>
    <mergeCell ref="H12:H14"/>
    <mergeCell ref="H15:H17"/>
    <mergeCell ref="A18:G18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0"/>
    <col collapsed="false" customWidth="true" hidden="false" outlineLevel="0" max="8" min="8" style="0" width="18"/>
  </cols>
  <sheetData>
    <row r="1" customFormat="false" ht="45.75" hidden="false" customHeight="true" outlineLevel="0" collapsed="false">
      <c r="A1" s="10" t="s">
        <v>19</v>
      </c>
      <c r="B1" s="10"/>
      <c r="C1" s="10"/>
      <c r="D1" s="10"/>
      <c r="E1" s="10"/>
      <c r="F1" s="10"/>
      <c r="G1" s="10"/>
      <c r="H1" s="10"/>
    </row>
    <row r="2" customFormat="false" ht="25.5" hidden="false" customHeight="true" outlineLevel="0" collapsed="false">
      <c r="A2" s="11" t="s">
        <v>9</v>
      </c>
      <c r="B2" s="11" t="s">
        <v>10</v>
      </c>
      <c r="C2" s="11" t="s">
        <v>11</v>
      </c>
      <c r="D2" s="11" t="s">
        <v>12</v>
      </c>
      <c r="E2" s="11" t="s">
        <v>13</v>
      </c>
      <c r="F2" s="11" t="s">
        <v>14</v>
      </c>
      <c r="G2" s="11" t="s">
        <v>15</v>
      </c>
      <c r="H2" s="12" t="s">
        <v>16</v>
      </c>
    </row>
    <row r="3" customFormat="false" ht="24" hidden="false" customHeight="true" outlineLevel="0" collapsed="false">
      <c r="A3" s="13"/>
      <c r="B3" s="13"/>
      <c r="C3" s="13"/>
      <c r="D3" s="13"/>
      <c r="E3" s="13"/>
      <c r="F3" s="13"/>
      <c r="G3" s="15" t="n">
        <v>1</v>
      </c>
      <c r="H3" s="16" t="n">
        <f aca="false">SUMPRODUCT((UPPER(A5:G5)="Y")*IF(A4:G4="",0,A4:G4))</f>
        <v>0</v>
      </c>
    </row>
    <row r="4" customFormat="false" ht="33.75" hidden="false" customHeight="true" outlineLevel="0" collapsed="false">
      <c r="A4" s="13"/>
      <c r="B4" s="13"/>
      <c r="C4" s="13"/>
      <c r="D4" s="13"/>
      <c r="E4" s="13"/>
      <c r="F4" s="13"/>
      <c r="G4" s="18" t="n">
        <f aca="false">IF(AND(DATE(2026,8,1)&gt;=Setup!$B$4,DATE(2026,8,1)&lt;=Setup!$B$4+Setup!$B$5-1),Setup!$B$6+(DATE(2026,8,1)-Setup!$B$4)*Setup!$B$7,"")</f>
        <v>27</v>
      </c>
      <c r="H4" s="16"/>
    </row>
    <row r="5" customFormat="false" ht="30" hidden="false" customHeight="true" outlineLevel="0" collapsed="false">
      <c r="A5" s="13"/>
      <c r="B5" s="13"/>
      <c r="C5" s="13"/>
      <c r="D5" s="13"/>
      <c r="E5" s="13"/>
      <c r="F5" s="13"/>
      <c r="G5" s="19"/>
      <c r="H5" s="16"/>
    </row>
    <row r="6" customFormat="false" ht="24" hidden="false" customHeight="true" outlineLevel="0" collapsed="false">
      <c r="A6" s="15" t="n">
        <v>2</v>
      </c>
      <c r="B6" s="14" t="n">
        <v>3</v>
      </c>
      <c r="C6" s="14" t="n">
        <v>4</v>
      </c>
      <c r="D6" s="14" t="n">
        <v>5</v>
      </c>
      <c r="E6" s="14" t="n">
        <v>6</v>
      </c>
      <c r="F6" s="14" t="n">
        <v>7</v>
      </c>
      <c r="G6" s="15" t="n">
        <v>8</v>
      </c>
      <c r="H6" s="16" t="n">
        <f aca="false">SUMPRODUCT((UPPER(A8:G8)="Y")*IF(A7:G7="",0,A7:G7))</f>
        <v>0</v>
      </c>
    </row>
    <row r="7" customFormat="false" ht="33.75" hidden="false" customHeight="true" outlineLevel="0" collapsed="false">
      <c r="A7" s="18" t="n">
        <f aca="false">IF(AND(DATE(2026,8,2)&gt;=Setup!$B$4,DATE(2026,8,2)&lt;=Setup!$B$4+Setup!$B$5-1),Setup!$B$6+(DATE(2026,8,2)-Setup!$B$4)*Setup!$B$7,"")</f>
        <v>28</v>
      </c>
      <c r="B7" s="17" t="n">
        <f aca="false">IF(AND(DATE(2026,8,3)&gt;=Setup!$B$4,DATE(2026,8,3)&lt;=Setup!$B$4+Setup!$B$5-1),Setup!$B$6+(DATE(2026,8,3)-Setup!$B$4)*Setup!$B$7,"")</f>
        <v>29</v>
      </c>
      <c r="C7" s="17" t="n">
        <f aca="false">IF(AND(DATE(2026,8,4)&gt;=Setup!$B$4,DATE(2026,8,4)&lt;=Setup!$B$4+Setup!$B$5-1),Setup!$B$6+(DATE(2026,8,4)-Setup!$B$4)*Setup!$B$7,"")</f>
        <v>30</v>
      </c>
      <c r="D7" s="17" t="n">
        <f aca="false">IF(AND(DATE(2026,8,5)&gt;=Setup!$B$4,DATE(2026,8,5)&lt;=Setup!$B$4+Setup!$B$5-1),Setup!$B$6+(DATE(2026,8,5)-Setup!$B$4)*Setup!$B$7,"")</f>
        <v>31</v>
      </c>
      <c r="E7" s="17" t="n">
        <f aca="false">IF(AND(DATE(2026,8,6)&gt;=Setup!$B$4,DATE(2026,8,6)&lt;=Setup!$B$4+Setup!$B$5-1),Setup!$B$6+(DATE(2026,8,6)-Setup!$B$4)*Setup!$B$7,"")</f>
        <v>32</v>
      </c>
      <c r="F7" s="17" t="n">
        <f aca="false">IF(AND(DATE(2026,8,7)&gt;=Setup!$B$4,DATE(2026,8,7)&lt;=Setup!$B$4+Setup!$B$5-1),Setup!$B$6+(DATE(2026,8,7)-Setup!$B$4)*Setup!$B$7,"")</f>
        <v>33</v>
      </c>
      <c r="G7" s="18" t="n">
        <f aca="false">IF(AND(DATE(2026,8,8)&gt;=Setup!$B$4,DATE(2026,8,8)&lt;=Setup!$B$4+Setup!$B$5-1),Setup!$B$6+(DATE(2026,8,8)-Setup!$B$4)*Setup!$B$7,"")</f>
        <v>34</v>
      </c>
      <c r="H7" s="16"/>
    </row>
    <row r="8" customFormat="false" ht="30" hidden="false" customHeight="true" outlineLevel="0" collapsed="false">
      <c r="A8" s="19"/>
      <c r="B8" s="19"/>
      <c r="C8" s="19"/>
      <c r="D8" s="19"/>
      <c r="E8" s="19"/>
      <c r="F8" s="19"/>
      <c r="G8" s="19"/>
      <c r="H8" s="16"/>
    </row>
    <row r="9" customFormat="false" ht="24" hidden="false" customHeight="true" outlineLevel="0" collapsed="false">
      <c r="A9" s="15" t="n">
        <v>9</v>
      </c>
      <c r="B9" s="14" t="n">
        <v>10</v>
      </c>
      <c r="C9" s="14" t="n">
        <v>11</v>
      </c>
      <c r="D9" s="14" t="n">
        <v>12</v>
      </c>
      <c r="E9" s="14" t="n">
        <v>13</v>
      </c>
      <c r="F9" s="14" t="n">
        <v>14</v>
      </c>
      <c r="G9" s="15" t="n">
        <v>15</v>
      </c>
      <c r="H9" s="16" t="n">
        <f aca="false">SUMPRODUCT((UPPER(A11:G11)="Y")*IF(A10:G10="",0,A10:G10))</f>
        <v>0</v>
      </c>
    </row>
    <row r="10" customFormat="false" ht="33.75" hidden="false" customHeight="true" outlineLevel="0" collapsed="false">
      <c r="A10" s="18" t="n">
        <f aca="false">IF(AND(DATE(2026,8,9)&gt;=Setup!$B$4,DATE(2026,8,9)&lt;=Setup!$B$4+Setup!$B$5-1),Setup!$B$6+(DATE(2026,8,9)-Setup!$B$4)*Setup!$B$7,"")</f>
        <v>35</v>
      </c>
      <c r="B10" s="17" t="n">
        <f aca="false">IF(AND(DATE(2026,8,10)&gt;=Setup!$B$4,DATE(2026,8,10)&lt;=Setup!$B$4+Setup!$B$5-1),Setup!$B$6+(DATE(2026,8,10)-Setup!$B$4)*Setup!$B$7,"")</f>
        <v>36</v>
      </c>
      <c r="C10" s="17" t="n">
        <f aca="false">IF(AND(DATE(2026,8,11)&gt;=Setup!$B$4,DATE(2026,8,11)&lt;=Setup!$B$4+Setup!$B$5-1),Setup!$B$6+(DATE(2026,8,11)-Setup!$B$4)*Setup!$B$7,"")</f>
        <v>37</v>
      </c>
      <c r="D10" s="17" t="n">
        <f aca="false">IF(AND(DATE(2026,8,12)&gt;=Setup!$B$4,DATE(2026,8,12)&lt;=Setup!$B$4+Setup!$B$5-1),Setup!$B$6+(DATE(2026,8,12)-Setup!$B$4)*Setup!$B$7,"")</f>
        <v>38</v>
      </c>
      <c r="E10" s="17" t="n">
        <f aca="false">IF(AND(DATE(2026,8,13)&gt;=Setup!$B$4,DATE(2026,8,13)&lt;=Setup!$B$4+Setup!$B$5-1),Setup!$B$6+(DATE(2026,8,13)-Setup!$B$4)*Setup!$B$7,"")</f>
        <v>39</v>
      </c>
      <c r="F10" s="17" t="n">
        <f aca="false">IF(AND(DATE(2026,8,14)&gt;=Setup!$B$4,DATE(2026,8,14)&lt;=Setup!$B$4+Setup!$B$5-1),Setup!$B$6+(DATE(2026,8,14)-Setup!$B$4)*Setup!$B$7,"")</f>
        <v>40</v>
      </c>
      <c r="G10" s="18" t="n">
        <f aca="false">IF(AND(DATE(2026,8,15)&gt;=Setup!$B$4,DATE(2026,8,15)&lt;=Setup!$B$4+Setup!$B$5-1),Setup!$B$6+(DATE(2026,8,15)-Setup!$B$4)*Setup!$B$7,"")</f>
        <v>41</v>
      </c>
      <c r="H10" s="16"/>
    </row>
    <row r="11" customFormat="false" ht="30" hidden="false" customHeight="true" outlineLevel="0" collapsed="false">
      <c r="A11" s="19"/>
      <c r="B11" s="19"/>
      <c r="C11" s="19"/>
      <c r="D11" s="19"/>
      <c r="E11" s="19"/>
      <c r="F11" s="19"/>
      <c r="G11" s="19"/>
      <c r="H11" s="16"/>
    </row>
    <row r="12" customFormat="false" ht="24" hidden="false" customHeight="true" outlineLevel="0" collapsed="false">
      <c r="A12" s="15" t="n">
        <v>16</v>
      </c>
      <c r="B12" s="14" t="n">
        <v>17</v>
      </c>
      <c r="C12" s="14" t="n">
        <v>18</v>
      </c>
      <c r="D12" s="14" t="n">
        <v>19</v>
      </c>
      <c r="E12" s="14" t="n">
        <v>20</v>
      </c>
      <c r="F12" s="14" t="n">
        <v>21</v>
      </c>
      <c r="G12" s="15" t="n">
        <v>22</v>
      </c>
      <c r="H12" s="16" t="n">
        <f aca="false">SUMPRODUCT((UPPER(A14:G14)="Y")*IF(A13:G13="",0,A13:G13))</f>
        <v>0</v>
      </c>
    </row>
    <row r="13" customFormat="false" ht="33.75" hidden="false" customHeight="true" outlineLevel="0" collapsed="false">
      <c r="A13" s="18" t="n">
        <f aca="false">IF(AND(DATE(2026,8,16)&gt;=Setup!$B$4,DATE(2026,8,16)&lt;=Setup!$B$4+Setup!$B$5-1),Setup!$B$6+(DATE(2026,8,16)-Setup!$B$4)*Setup!$B$7,"")</f>
        <v>42</v>
      </c>
      <c r="B13" s="17" t="n">
        <f aca="false">IF(AND(DATE(2026,8,17)&gt;=Setup!$B$4,DATE(2026,8,17)&lt;=Setup!$B$4+Setup!$B$5-1),Setup!$B$6+(DATE(2026,8,17)-Setup!$B$4)*Setup!$B$7,"")</f>
        <v>43</v>
      </c>
      <c r="C13" s="17" t="n">
        <f aca="false">IF(AND(DATE(2026,8,18)&gt;=Setup!$B$4,DATE(2026,8,18)&lt;=Setup!$B$4+Setup!$B$5-1),Setup!$B$6+(DATE(2026,8,18)-Setup!$B$4)*Setup!$B$7,"")</f>
        <v>44</v>
      </c>
      <c r="D13" s="17" t="n">
        <f aca="false">IF(AND(DATE(2026,8,19)&gt;=Setup!$B$4,DATE(2026,8,19)&lt;=Setup!$B$4+Setup!$B$5-1),Setup!$B$6+(DATE(2026,8,19)-Setup!$B$4)*Setup!$B$7,"")</f>
        <v>45</v>
      </c>
      <c r="E13" s="17" t="n">
        <f aca="false">IF(AND(DATE(2026,8,20)&gt;=Setup!$B$4,DATE(2026,8,20)&lt;=Setup!$B$4+Setup!$B$5-1),Setup!$B$6+(DATE(2026,8,20)-Setup!$B$4)*Setup!$B$7,"")</f>
        <v>46</v>
      </c>
      <c r="F13" s="17" t="n">
        <f aca="false">IF(AND(DATE(2026,8,21)&gt;=Setup!$B$4,DATE(2026,8,21)&lt;=Setup!$B$4+Setup!$B$5-1),Setup!$B$6+(DATE(2026,8,21)-Setup!$B$4)*Setup!$B$7,"")</f>
        <v>47</v>
      </c>
      <c r="G13" s="18" t="n">
        <f aca="false">IF(AND(DATE(2026,8,22)&gt;=Setup!$B$4,DATE(2026,8,22)&lt;=Setup!$B$4+Setup!$B$5-1),Setup!$B$6+(DATE(2026,8,22)-Setup!$B$4)*Setup!$B$7,"")</f>
        <v>48</v>
      </c>
      <c r="H13" s="16"/>
    </row>
    <row r="14" customFormat="false" ht="30" hidden="false" customHeight="true" outlineLevel="0" collapsed="false">
      <c r="A14" s="19"/>
      <c r="B14" s="19"/>
      <c r="C14" s="19"/>
      <c r="D14" s="19"/>
      <c r="E14" s="19"/>
      <c r="F14" s="19"/>
      <c r="G14" s="19"/>
      <c r="H14" s="16"/>
    </row>
    <row r="15" customFormat="false" ht="24" hidden="false" customHeight="true" outlineLevel="0" collapsed="false">
      <c r="A15" s="15" t="n">
        <v>23</v>
      </c>
      <c r="B15" s="14" t="n">
        <v>24</v>
      </c>
      <c r="C15" s="14" t="n">
        <v>25</v>
      </c>
      <c r="D15" s="14" t="n">
        <v>26</v>
      </c>
      <c r="E15" s="14" t="n">
        <v>27</v>
      </c>
      <c r="F15" s="14" t="n">
        <v>28</v>
      </c>
      <c r="G15" s="15" t="n">
        <v>29</v>
      </c>
      <c r="H15" s="16" t="n">
        <f aca="false">SUMPRODUCT((UPPER(A17:G17)="Y")*IF(A16:G16="",0,A16:G16))</f>
        <v>0</v>
      </c>
    </row>
    <row r="16" customFormat="false" ht="33.75" hidden="false" customHeight="true" outlineLevel="0" collapsed="false">
      <c r="A16" s="18" t="n">
        <f aca="false">IF(AND(DATE(2026,8,23)&gt;=Setup!$B$4,DATE(2026,8,23)&lt;=Setup!$B$4+Setup!$B$5-1),Setup!$B$6+(DATE(2026,8,23)-Setup!$B$4)*Setup!$B$7,"")</f>
        <v>49</v>
      </c>
      <c r="B16" s="17" t="n">
        <f aca="false">IF(AND(DATE(2026,8,24)&gt;=Setup!$B$4,DATE(2026,8,24)&lt;=Setup!$B$4+Setup!$B$5-1),Setup!$B$6+(DATE(2026,8,24)-Setup!$B$4)*Setup!$B$7,"")</f>
        <v>50</v>
      </c>
      <c r="C16" s="17" t="n">
        <f aca="false">IF(AND(DATE(2026,8,25)&gt;=Setup!$B$4,DATE(2026,8,25)&lt;=Setup!$B$4+Setup!$B$5-1),Setup!$B$6+(DATE(2026,8,25)-Setup!$B$4)*Setup!$B$7,"")</f>
        <v>51</v>
      </c>
      <c r="D16" s="17" t="n">
        <f aca="false">IF(AND(DATE(2026,8,26)&gt;=Setup!$B$4,DATE(2026,8,26)&lt;=Setup!$B$4+Setup!$B$5-1),Setup!$B$6+(DATE(2026,8,26)-Setup!$B$4)*Setup!$B$7,"")</f>
        <v>52</v>
      </c>
      <c r="E16" s="17" t="n">
        <f aca="false">IF(AND(DATE(2026,8,27)&gt;=Setup!$B$4,DATE(2026,8,27)&lt;=Setup!$B$4+Setup!$B$5-1),Setup!$B$6+(DATE(2026,8,27)-Setup!$B$4)*Setup!$B$7,"")</f>
        <v>53</v>
      </c>
      <c r="F16" s="17" t="n">
        <f aca="false">IF(AND(DATE(2026,8,28)&gt;=Setup!$B$4,DATE(2026,8,28)&lt;=Setup!$B$4+Setup!$B$5-1),Setup!$B$6+(DATE(2026,8,28)-Setup!$B$4)*Setup!$B$7,"")</f>
        <v>54</v>
      </c>
      <c r="G16" s="18" t="n">
        <f aca="false">IF(AND(DATE(2026,8,29)&gt;=Setup!$B$4,DATE(2026,8,29)&lt;=Setup!$B$4+Setup!$B$5-1),Setup!$B$6+(DATE(2026,8,29)-Setup!$B$4)*Setup!$B$7,"")</f>
        <v>55</v>
      </c>
      <c r="H16" s="16"/>
    </row>
    <row r="17" customFormat="false" ht="30" hidden="false" customHeight="true" outlineLevel="0" collapsed="false">
      <c r="A17" s="19"/>
      <c r="B17" s="19"/>
      <c r="C17" s="19"/>
      <c r="D17" s="19"/>
      <c r="E17" s="19"/>
      <c r="F17" s="19"/>
      <c r="G17" s="19"/>
      <c r="H17" s="16"/>
    </row>
    <row r="18" customFormat="false" ht="24" hidden="false" customHeight="true" outlineLevel="0" collapsed="false">
      <c r="A18" s="15" t="n">
        <v>30</v>
      </c>
      <c r="B18" s="14" t="n">
        <v>31</v>
      </c>
      <c r="C18" s="13"/>
      <c r="D18" s="13"/>
      <c r="E18" s="13"/>
      <c r="F18" s="13"/>
      <c r="G18" s="13"/>
      <c r="H18" s="16" t="n">
        <f aca="false">SUMPRODUCT((UPPER(A20:G20)="Y")*IF(A19:G19="",0,A19:G19))</f>
        <v>0</v>
      </c>
    </row>
    <row r="19" customFormat="false" ht="33.75" hidden="false" customHeight="true" outlineLevel="0" collapsed="false">
      <c r="A19" s="18" t="n">
        <f aca="false">IF(AND(DATE(2026,8,30)&gt;=Setup!$B$4,DATE(2026,8,30)&lt;=Setup!$B$4+Setup!$B$5-1),Setup!$B$6+(DATE(2026,8,30)-Setup!$B$4)*Setup!$B$7,"")</f>
        <v>56</v>
      </c>
      <c r="B19" s="17" t="n">
        <f aca="false">IF(AND(DATE(2026,8,31)&gt;=Setup!$B$4,DATE(2026,8,31)&lt;=Setup!$B$4+Setup!$B$5-1),Setup!$B$6+(DATE(2026,8,31)-Setup!$B$4)*Setup!$B$7,"")</f>
        <v>57</v>
      </c>
      <c r="C19" s="13"/>
      <c r="D19" s="13"/>
      <c r="E19" s="13"/>
      <c r="F19" s="13"/>
      <c r="G19" s="13"/>
      <c r="H19" s="16"/>
    </row>
    <row r="20" customFormat="false" ht="30" hidden="false" customHeight="true" outlineLevel="0" collapsed="false">
      <c r="A20" s="19"/>
      <c r="B20" s="19"/>
      <c r="C20" s="13"/>
      <c r="D20" s="13"/>
      <c r="E20" s="13"/>
      <c r="F20" s="13"/>
      <c r="G20" s="13"/>
      <c r="H20" s="16"/>
    </row>
    <row r="21" customFormat="false" ht="31.5" hidden="false" customHeight="true" outlineLevel="0" collapsed="false">
      <c r="A21" s="20" t="s">
        <v>17</v>
      </c>
      <c r="B21" s="20"/>
      <c r="C21" s="20"/>
      <c r="D21" s="20"/>
      <c r="E21" s="20"/>
      <c r="F21" s="20"/>
      <c r="G21" s="20"/>
      <c r="H21" s="21" t="n">
        <f aca="false">H3+H6+H9+H12+H15+H18</f>
        <v>0</v>
      </c>
    </row>
    <row r="23" customFormat="false" ht="21.75" hidden="false" customHeight="true" outlineLevel="0" collapsed="false">
      <c r="A23" s="22" t="s">
        <v>18</v>
      </c>
      <c r="B23" s="22"/>
      <c r="C23" s="22"/>
      <c r="D23" s="22"/>
      <c r="E23" s="22"/>
      <c r="F23" s="22"/>
      <c r="G23" s="22"/>
      <c r="H23" s="22"/>
    </row>
  </sheetData>
  <mergeCells count="9">
    <mergeCell ref="A1:H1"/>
    <mergeCell ref="H3:H5"/>
    <mergeCell ref="H6:H8"/>
    <mergeCell ref="H9:H11"/>
    <mergeCell ref="H12:H14"/>
    <mergeCell ref="H15:H17"/>
    <mergeCell ref="H18:H20"/>
    <mergeCell ref="A21:G21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0"/>
    <col collapsed="false" customWidth="true" hidden="false" outlineLevel="0" max="8" min="8" style="0" width="18"/>
  </cols>
  <sheetData>
    <row r="1" customFormat="false" ht="45.75" hidden="false" customHeight="true" outlineLevel="0" collapsed="false">
      <c r="A1" s="10" t="s">
        <v>20</v>
      </c>
      <c r="B1" s="10"/>
      <c r="C1" s="10"/>
      <c r="D1" s="10"/>
      <c r="E1" s="10"/>
      <c r="F1" s="10"/>
      <c r="G1" s="10"/>
      <c r="H1" s="10"/>
    </row>
    <row r="2" customFormat="false" ht="25.5" hidden="false" customHeight="true" outlineLevel="0" collapsed="false">
      <c r="A2" s="11" t="s">
        <v>9</v>
      </c>
      <c r="B2" s="11" t="s">
        <v>10</v>
      </c>
      <c r="C2" s="11" t="s">
        <v>11</v>
      </c>
      <c r="D2" s="11" t="s">
        <v>12</v>
      </c>
      <c r="E2" s="11" t="s">
        <v>13</v>
      </c>
      <c r="F2" s="11" t="s">
        <v>14</v>
      </c>
      <c r="G2" s="11" t="s">
        <v>15</v>
      </c>
      <c r="H2" s="12" t="s">
        <v>16</v>
      </c>
    </row>
    <row r="3" customFormat="false" ht="24" hidden="false" customHeight="true" outlineLevel="0" collapsed="false">
      <c r="A3" s="13"/>
      <c r="B3" s="13"/>
      <c r="C3" s="14" t="n">
        <v>1</v>
      </c>
      <c r="D3" s="14" t="n">
        <v>2</v>
      </c>
      <c r="E3" s="14" t="n">
        <v>3</v>
      </c>
      <c r="F3" s="14" t="n">
        <v>4</v>
      </c>
      <c r="G3" s="15" t="n">
        <v>5</v>
      </c>
      <c r="H3" s="16" t="n">
        <f aca="false">SUMPRODUCT((UPPER(A5:G5)="Y")*IF(A4:G4="",0,A4:G4))</f>
        <v>0</v>
      </c>
    </row>
    <row r="4" customFormat="false" ht="33.75" hidden="false" customHeight="true" outlineLevel="0" collapsed="false">
      <c r="A4" s="13"/>
      <c r="B4" s="13"/>
      <c r="C4" s="17" t="n">
        <f aca="false">IF(AND(DATE(2026,9,1)&gt;=Setup!$B$4,DATE(2026,9,1)&lt;=Setup!$B$4+Setup!$B$5-1),Setup!$B$6+(DATE(2026,9,1)-Setup!$B$4)*Setup!$B$7,"")</f>
        <v>58</v>
      </c>
      <c r="D4" s="17" t="n">
        <f aca="false">IF(AND(DATE(2026,9,2)&gt;=Setup!$B$4,DATE(2026,9,2)&lt;=Setup!$B$4+Setup!$B$5-1),Setup!$B$6+(DATE(2026,9,2)-Setup!$B$4)*Setup!$B$7,"")</f>
        <v>59</v>
      </c>
      <c r="E4" s="17" t="n">
        <f aca="false">IF(AND(DATE(2026,9,3)&gt;=Setup!$B$4,DATE(2026,9,3)&lt;=Setup!$B$4+Setup!$B$5-1),Setup!$B$6+(DATE(2026,9,3)-Setup!$B$4)*Setup!$B$7,"")</f>
        <v>60</v>
      </c>
      <c r="F4" s="17" t="n">
        <f aca="false">IF(AND(DATE(2026,9,4)&gt;=Setup!$B$4,DATE(2026,9,4)&lt;=Setup!$B$4+Setup!$B$5-1),Setup!$B$6+(DATE(2026,9,4)-Setup!$B$4)*Setup!$B$7,"")</f>
        <v>61</v>
      </c>
      <c r="G4" s="18" t="n">
        <f aca="false">IF(AND(DATE(2026,9,5)&gt;=Setup!$B$4,DATE(2026,9,5)&lt;=Setup!$B$4+Setup!$B$5-1),Setup!$B$6+(DATE(2026,9,5)-Setup!$B$4)*Setup!$B$7,"")</f>
        <v>62</v>
      </c>
      <c r="H4" s="16"/>
    </row>
    <row r="5" customFormat="false" ht="30" hidden="false" customHeight="true" outlineLevel="0" collapsed="false">
      <c r="A5" s="13"/>
      <c r="B5" s="13"/>
      <c r="C5" s="19"/>
      <c r="D5" s="19"/>
      <c r="E5" s="19"/>
      <c r="F5" s="19"/>
      <c r="G5" s="19"/>
      <c r="H5" s="16"/>
    </row>
    <row r="6" customFormat="false" ht="24" hidden="false" customHeight="true" outlineLevel="0" collapsed="false">
      <c r="A6" s="15" t="n">
        <v>6</v>
      </c>
      <c r="B6" s="14" t="n">
        <v>7</v>
      </c>
      <c r="C6" s="14" t="n">
        <v>8</v>
      </c>
      <c r="D6" s="14" t="n">
        <v>9</v>
      </c>
      <c r="E6" s="14" t="n">
        <v>10</v>
      </c>
      <c r="F6" s="14" t="n">
        <v>11</v>
      </c>
      <c r="G6" s="15" t="n">
        <v>12</v>
      </c>
      <c r="H6" s="16" t="n">
        <f aca="false">SUMPRODUCT((UPPER(A8:G8)="Y")*IF(A7:G7="",0,A7:G7))</f>
        <v>0</v>
      </c>
    </row>
    <row r="7" customFormat="false" ht="33.75" hidden="false" customHeight="true" outlineLevel="0" collapsed="false">
      <c r="A7" s="18" t="n">
        <f aca="false">IF(AND(DATE(2026,9,6)&gt;=Setup!$B$4,DATE(2026,9,6)&lt;=Setup!$B$4+Setup!$B$5-1),Setup!$B$6+(DATE(2026,9,6)-Setup!$B$4)*Setup!$B$7,"")</f>
        <v>63</v>
      </c>
      <c r="B7" s="17" t="n">
        <f aca="false">IF(AND(DATE(2026,9,7)&gt;=Setup!$B$4,DATE(2026,9,7)&lt;=Setup!$B$4+Setup!$B$5-1),Setup!$B$6+(DATE(2026,9,7)-Setup!$B$4)*Setup!$B$7,"")</f>
        <v>64</v>
      </c>
      <c r="C7" s="17" t="n">
        <f aca="false">IF(AND(DATE(2026,9,8)&gt;=Setup!$B$4,DATE(2026,9,8)&lt;=Setup!$B$4+Setup!$B$5-1),Setup!$B$6+(DATE(2026,9,8)-Setup!$B$4)*Setup!$B$7,"")</f>
        <v>65</v>
      </c>
      <c r="D7" s="17" t="n">
        <f aca="false">IF(AND(DATE(2026,9,9)&gt;=Setup!$B$4,DATE(2026,9,9)&lt;=Setup!$B$4+Setup!$B$5-1),Setup!$B$6+(DATE(2026,9,9)-Setup!$B$4)*Setup!$B$7,"")</f>
        <v>66</v>
      </c>
      <c r="E7" s="17" t="n">
        <f aca="false">IF(AND(DATE(2026,9,10)&gt;=Setup!$B$4,DATE(2026,9,10)&lt;=Setup!$B$4+Setup!$B$5-1),Setup!$B$6+(DATE(2026,9,10)-Setup!$B$4)*Setup!$B$7,"")</f>
        <v>67</v>
      </c>
      <c r="F7" s="17" t="n">
        <f aca="false">IF(AND(DATE(2026,9,11)&gt;=Setup!$B$4,DATE(2026,9,11)&lt;=Setup!$B$4+Setup!$B$5-1),Setup!$B$6+(DATE(2026,9,11)-Setup!$B$4)*Setup!$B$7,"")</f>
        <v>68</v>
      </c>
      <c r="G7" s="18" t="n">
        <f aca="false">IF(AND(DATE(2026,9,12)&gt;=Setup!$B$4,DATE(2026,9,12)&lt;=Setup!$B$4+Setup!$B$5-1),Setup!$B$6+(DATE(2026,9,12)-Setup!$B$4)*Setup!$B$7,"")</f>
        <v>69</v>
      </c>
      <c r="H7" s="16"/>
    </row>
    <row r="8" customFormat="false" ht="30" hidden="false" customHeight="true" outlineLevel="0" collapsed="false">
      <c r="A8" s="19"/>
      <c r="B8" s="19"/>
      <c r="C8" s="19"/>
      <c r="D8" s="19"/>
      <c r="E8" s="19"/>
      <c r="F8" s="19"/>
      <c r="G8" s="19"/>
      <c r="H8" s="16"/>
    </row>
    <row r="9" customFormat="false" ht="24" hidden="false" customHeight="true" outlineLevel="0" collapsed="false">
      <c r="A9" s="15" t="n">
        <v>13</v>
      </c>
      <c r="B9" s="14" t="n">
        <v>14</v>
      </c>
      <c r="C9" s="14" t="n">
        <v>15</v>
      </c>
      <c r="D9" s="14" t="n">
        <v>16</v>
      </c>
      <c r="E9" s="14" t="n">
        <v>17</v>
      </c>
      <c r="F9" s="14" t="n">
        <v>18</v>
      </c>
      <c r="G9" s="15" t="n">
        <v>19</v>
      </c>
      <c r="H9" s="16" t="n">
        <f aca="false">SUMPRODUCT((UPPER(A11:G11)="Y")*IF(A10:G10="",0,A10:G10))</f>
        <v>0</v>
      </c>
    </row>
    <row r="10" customFormat="false" ht="33.75" hidden="false" customHeight="true" outlineLevel="0" collapsed="false">
      <c r="A10" s="18" t="n">
        <f aca="false">IF(AND(DATE(2026,9,13)&gt;=Setup!$B$4,DATE(2026,9,13)&lt;=Setup!$B$4+Setup!$B$5-1),Setup!$B$6+(DATE(2026,9,13)-Setup!$B$4)*Setup!$B$7,"")</f>
        <v>70</v>
      </c>
      <c r="B10" s="17" t="n">
        <f aca="false">IF(AND(DATE(2026,9,14)&gt;=Setup!$B$4,DATE(2026,9,14)&lt;=Setup!$B$4+Setup!$B$5-1),Setup!$B$6+(DATE(2026,9,14)-Setup!$B$4)*Setup!$B$7,"")</f>
        <v>71</v>
      </c>
      <c r="C10" s="17" t="n">
        <f aca="false">IF(AND(DATE(2026,9,15)&gt;=Setup!$B$4,DATE(2026,9,15)&lt;=Setup!$B$4+Setup!$B$5-1),Setup!$B$6+(DATE(2026,9,15)-Setup!$B$4)*Setup!$B$7,"")</f>
        <v>72</v>
      </c>
      <c r="D10" s="17" t="n">
        <f aca="false">IF(AND(DATE(2026,9,16)&gt;=Setup!$B$4,DATE(2026,9,16)&lt;=Setup!$B$4+Setup!$B$5-1),Setup!$B$6+(DATE(2026,9,16)-Setup!$B$4)*Setup!$B$7,"")</f>
        <v>73</v>
      </c>
      <c r="E10" s="17" t="n">
        <f aca="false">IF(AND(DATE(2026,9,17)&gt;=Setup!$B$4,DATE(2026,9,17)&lt;=Setup!$B$4+Setup!$B$5-1),Setup!$B$6+(DATE(2026,9,17)-Setup!$B$4)*Setup!$B$7,"")</f>
        <v>74</v>
      </c>
      <c r="F10" s="17" t="n">
        <f aca="false">IF(AND(DATE(2026,9,18)&gt;=Setup!$B$4,DATE(2026,9,18)&lt;=Setup!$B$4+Setup!$B$5-1),Setup!$B$6+(DATE(2026,9,18)-Setup!$B$4)*Setup!$B$7,"")</f>
        <v>75</v>
      </c>
      <c r="G10" s="18" t="n">
        <f aca="false">IF(AND(DATE(2026,9,19)&gt;=Setup!$B$4,DATE(2026,9,19)&lt;=Setup!$B$4+Setup!$B$5-1),Setup!$B$6+(DATE(2026,9,19)-Setup!$B$4)*Setup!$B$7,"")</f>
        <v>76</v>
      </c>
      <c r="H10" s="16"/>
    </row>
    <row r="11" customFormat="false" ht="30" hidden="false" customHeight="true" outlineLevel="0" collapsed="false">
      <c r="A11" s="19"/>
      <c r="B11" s="19"/>
      <c r="C11" s="19"/>
      <c r="D11" s="19"/>
      <c r="E11" s="19"/>
      <c r="F11" s="19"/>
      <c r="G11" s="19"/>
      <c r="H11" s="16"/>
    </row>
    <row r="12" customFormat="false" ht="24" hidden="false" customHeight="true" outlineLevel="0" collapsed="false">
      <c r="A12" s="15" t="n">
        <v>20</v>
      </c>
      <c r="B12" s="14" t="n">
        <v>21</v>
      </c>
      <c r="C12" s="14" t="n">
        <v>22</v>
      </c>
      <c r="D12" s="14" t="n">
        <v>23</v>
      </c>
      <c r="E12" s="14" t="n">
        <v>24</v>
      </c>
      <c r="F12" s="14" t="n">
        <v>25</v>
      </c>
      <c r="G12" s="15" t="n">
        <v>26</v>
      </c>
      <c r="H12" s="16" t="n">
        <f aca="false">SUMPRODUCT((UPPER(A14:G14)="Y")*IF(A13:G13="",0,A13:G13))</f>
        <v>0</v>
      </c>
    </row>
    <row r="13" customFormat="false" ht="33.75" hidden="false" customHeight="true" outlineLevel="0" collapsed="false">
      <c r="A13" s="18" t="n">
        <f aca="false">IF(AND(DATE(2026,9,20)&gt;=Setup!$B$4,DATE(2026,9,20)&lt;=Setup!$B$4+Setup!$B$5-1),Setup!$B$6+(DATE(2026,9,20)-Setup!$B$4)*Setup!$B$7,"")</f>
        <v>77</v>
      </c>
      <c r="B13" s="17" t="n">
        <f aca="false">IF(AND(DATE(2026,9,21)&gt;=Setup!$B$4,DATE(2026,9,21)&lt;=Setup!$B$4+Setup!$B$5-1),Setup!$B$6+(DATE(2026,9,21)-Setup!$B$4)*Setup!$B$7,"")</f>
        <v>78</v>
      </c>
      <c r="C13" s="17" t="n">
        <f aca="false">IF(AND(DATE(2026,9,22)&gt;=Setup!$B$4,DATE(2026,9,22)&lt;=Setup!$B$4+Setup!$B$5-1),Setup!$B$6+(DATE(2026,9,22)-Setup!$B$4)*Setup!$B$7,"")</f>
        <v>79</v>
      </c>
      <c r="D13" s="17" t="n">
        <f aca="false">IF(AND(DATE(2026,9,23)&gt;=Setup!$B$4,DATE(2026,9,23)&lt;=Setup!$B$4+Setup!$B$5-1),Setup!$B$6+(DATE(2026,9,23)-Setup!$B$4)*Setup!$B$7,"")</f>
        <v>80</v>
      </c>
      <c r="E13" s="17" t="n">
        <f aca="false">IF(AND(DATE(2026,9,24)&gt;=Setup!$B$4,DATE(2026,9,24)&lt;=Setup!$B$4+Setup!$B$5-1),Setup!$B$6+(DATE(2026,9,24)-Setup!$B$4)*Setup!$B$7,"")</f>
        <v>81</v>
      </c>
      <c r="F13" s="17" t="n">
        <f aca="false">IF(AND(DATE(2026,9,25)&gt;=Setup!$B$4,DATE(2026,9,25)&lt;=Setup!$B$4+Setup!$B$5-1),Setup!$B$6+(DATE(2026,9,25)-Setup!$B$4)*Setup!$B$7,"")</f>
        <v>82</v>
      </c>
      <c r="G13" s="18" t="n">
        <f aca="false">IF(AND(DATE(2026,9,26)&gt;=Setup!$B$4,DATE(2026,9,26)&lt;=Setup!$B$4+Setup!$B$5-1),Setup!$B$6+(DATE(2026,9,26)-Setup!$B$4)*Setup!$B$7,"")</f>
        <v>83</v>
      </c>
      <c r="H13" s="16"/>
    </row>
    <row r="14" customFormat="false" ht="30" hidden="false" customHeight="true" outlineLevel="0" collapsed="false">
      <c r="A14" s="19"/>
      <c r="B14" s="19"/>
      <c r="C14" s="19"/>
      <c r="D14" s="19"/>
      <c r="E14" s="19"/>
      <c r="F14" s="19"/>
      <c r="G14" s="19"/>
      <c r="H14" s="16"/>
    </row>
    <row r="15" customFormat="false" ht="24" hidden="false" customHeight="true" outlineLevel="0" collapsed="false">
      <c r="A15" s="15" t="n">
        <v>27</v>
      </c>
      <c r="B15" s="14" t="n">
        <v>28</v>
      </c>
      <c r="C15" s="14" t="n">
        <v>29</v>
      </c>
      <c r="D15" s="14" t="n">
        <v>30</v>
      </c>
      <c r="E15" s="13"/>
      <c r="F15" s="13"/>
      <c r="G15" s="13"/>
      <c r="H15" s="16" t="n">
        <f aca="false">SUMPRODUCT((UPPER(A17:G17)="Y")*IF(A16:G16="",0,A16:G16))</f>
        <v>0</v>
      </c>
    </row>
    <row r="16" customFormat="false" ht="33.75" hidden="false" customHeight="true" outlineLevel="0" collapsed="false">
      <c r="A16" s="18" t="n">
        <f aca="false">IF(AND(DATE(2026,9,27)&gt;=Setup!$B$4,DATE(2026,9,27)&lt;=Setup!$B$4+Setup!$B$5-1),Setup!$B$6+(DATE(2026,9,27)-Setup!$B$4)*Setup!$B$7,"")</f>
        <v>84</v>
      </c>
      <c r="B16" s="17" t="n">
        <f aca="false">IF(AND(DATE(2026,9,28)&gt;=Setup!$B$4,DATE(2026,9,28)&lt;=Setup!$B$4+Setup!$B$5-1),Setup!$B$6+(DATE(2026,9,28)-Setup!$B$4)*Setup!$B$7,"")</f>
        <v>85</v>
      </c>
      <c r="C16" s="17" t="n">
        <f aca="false">IF(AND(DATE(2026,9,29)&gt;=Setup!$B$4,DATE(2026,9,29)&lt;=Setup!$B$4+Setup!$B$5-1),Setup!$B$6+(DATE(2026,9,29)-Setup!$B$4)*Setup!$B$7,"")</f>
        <v>86</v>
      </c>
      <c r="D16" s="17" t="n">
        <f aca="false">IF(AND(DATE(2026,9,30)&gt;=Setup!$B$4,DATE(2026,9,30)&lt;=Setup!$B$4+Setup!$B$5-1),Setup!$B$6+(DATE(2026,9,30)-Setup!$B$4)*Setup!$B$7,"")</f>
        <v>87</v>
      </c>
      <c r="E16" s="13"/>
      <c r="F16" s="13"/>
      <c r="G16" s="13"/>
      <c r="H16" s="16"/>
    </row>
    <row r="17" customFormat="false" ht="30" hidden="false" customHeight="true" outlineLevel="0" collapsed="false">
      <c r="A17" s="19"/>
      <c r="B17" s="19"/>
      <c r="C17" s="19"/>
      <c r="D17" s="19"/>
      <c r="E17" s="13"/>
      <c r="F17" s="13"/>
      <c r="G17" s="13"/>
      <c r="H17" s="16"/>
    </row>
    <row r="18" customFormat="false" ht="31.5" hidden="false" customHeight="true" outlineLevel="0" collapsed="false">
      <c r="A18" s="20" t="s">
        <v>17</v>
      </c>
      <c r="B18" s="20"/>
      <c r="C18" s="20"/>
      <c r="D18" s="20"/>
      <c r="E18" s="20"/>
      <c r="F18" s="20"/>
      <c r="G18" s="20"/>
      <c r="H18" s="21" t="n">
        <f aca="false">H3+H6+H9+H12+H15</f>
        <v>0</v>
      </c>
    </row>
    <row r="20" customFormat="false" ht="21.75" hidden="false" customHeight="true" outlineLevel="0" collapsed="false">
      <c r="A20" s="22" t="s">
        <v>18</v>
      </c>
      <c r="B20" s="22"/>
      <c r="C20" s="22"/>
      <c r="D20" s="22"/>
      <c r="E20" s="22"/>
      <c r="F20" s="22"/>
      <c r="G20" s="22"/>
      <c r="H20" s="22"/>
    </row>
  </sheetData>
  <mergeCells count="8">
    <mergeCell ref="A1:H1"/>
    <mergeCell ref="H3:H5"/>
    <mergeCell ref="H6:H8"/>
    <mergeCell ref="H9:H11"/>
    <mergeCell ref="H12:H14"/>
    <mergeCell ref="H15:H17"/>
    <mergeCell ref="A18:G18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0"/>
    <col collapsed="false" customWidth="true" hidden="false" outlineLevel="0" max="8" min="8" style="0" width="18"/>
  </cols>
  <sheetData>
    <row r="1" customFormat="false" ht="45.75" hidden="false" customHeight="true" outlineLevel="0" collapsed="false">
      <c r="A1" s="10" t="s">
        <v>21</v>
      </c>
      <c r="B1" s="10"/>
      <c r="C1" s="10"/>
      <c r="D1" s="10"/>
      <c r="E1" s="10"/>
      <c r="F1" s="10"/>
      <c r="G1" s="10"/>
      <c r="H1" s="10"/>
    </row>
    <row r="2" customFormat="false" ht="25.5" hidden="false" customHeight="true" outlineLevel="0" collapsed="false">
      <c r="A2" s="11" t="s">
        <v>9</v>
      </c>
      <c r="B2" s="11" t="s">
        <v>10</v>
      </c>
      <c r="C2" s="11" t="s">
        <v>11</v>
      </c>
      <c r="D2" s="11" t="s">
        <v>12</v>
      </c>
      <c r="E2" s="11" t="s">
        <v>13</v>
      </c>
      <c r="F2" s="11" t="s">
        <v>14</v>
      </c>
      <c r="G2" s="11" t="s">
        <v>15</v>
      </c>
      <c r="H2" s="12" t="s">
        <v>16</v>
      </c>
    </row>
    <row r="3" customFormat="false" ht="24" hidden="false" customHeight="true" outlineLevel="0" collapsed="false">
      <c r="A3" s="13"/>
      <c r="B3" s="13"/>
      <c r="C3" s="13"/>
      <c r="D3" s="13"/>
      <c r="E3" s="14" t="n">
        <v>1</v>
      </c>
      <c r="F3" s="14" t="n">
        <v>2</v>
      </c>
      <c r="G3" s="15" t="n">
        <v>3</v>
      </c>
      <c r="H3" s="16" t="n">
        <f aca="false">SUMPRODUCT((UPPER(A5:G5)="Y")*IF(A4:G4="",0,A4:G4))</f>
        <v>0</v>
      </c>
    </row>
    <row r="4" customFormat="false" ht="33.75" hidden="false" customHeight="true" outlineLevel="0" collapsed="false">
      <c r="A4" s="13"/>
      <c r="B4" s="13"/>
      <c r="C4" s="13"/>
      <c r="D4" s="13"/>
      <c r="E4" s="17" t="n">
        <f aca="false">IF(AND(DATE(2026,10,1)&gt;=Setup!$B$4,DATE(2026,10,1)&lt;=Setup!$B$4+Setup!$B$5-1),Setup!$B$6+(DATE(2026,10,1)-Setup!$B$4)*Setup!$B$7,"")</f>
        <v>88</v>
      </c>
      <c r="F4" s="17" t="n">
        <f aca="false">IF(AND(DATE(2026,10,2)&gt;=Setup!$B$4,DATE(2026,10,2)&lt;=Setup!$B$4+Setup!$B$5-1),Setup!$B$6+(DATE(2026,10,2)-Setup!$B$4)*Setup!$B$7,"")</f>
        <v>89</v>
      </c>
      <c r="G4" s="18" t="n">
        <f aca="false">IF(AND(DATE(2026,10,3)&gt;=Setup!$B$4,DATE(2026,10,3)&lt;=Setup!$B$4+Setup!$B$5-1),Setup!$B$6+(DATE(2026,10,3)-Setup!$B$4)*Setup!$B$7,"")</f>
        <v>90</v>
      </c>
      <c r="H4" s="16"/>
    </row>
    <row r="5" customFormat="false" ht="30" hidden="false" customHeight="true" outlineLevel="0" collapsed="false">
      <c r="A5" s="13"/>
      <c r="B5" s="13"/>
      <c r="C5" s="13"/>
      <c r="D5" s="13"/>
      <c r="E5" s="19"/>
      <c r="F5" s="19"/>
      <c r="G5" s="19"/>
      <c r="H5" s="16"/>
    </row>
    <row r="6" customFormat="false" ht="24" hidden="false" customHeight="true" outlineLevel="0" collapsed="false">
      <c r="A6" s="15" t="n">
        <v>4</v>
      </c>
      <c r="B6" s="14" t="n">
        <v>5</v>
      </c>
      <c r="C6" s="14" t="n">
        <v>6</v>
      </c>
      <c r="D6" s="14" t="n">
        <v>7</v>
      </c>
      <c r="E6" s="14" t="n">
        <v>8</v>
      </c>
      <c r="F6" s="14" t="n">
        <v>9</v>
      </c>
      <c r="G6" s="15" t="n">
        <v>10</v>
      </c>
      <c r="H6" s="16" t="n">
        <f aca="false">SUMPRODUCT((UPPER(A8:G8)="Y")*IF(A7:G7="",0,A7:G7))</f>
        <v>0</v>
      </c>
    </row>
    <row r="7" customFormat="false" ht="33.75" hidden="false" customHeight="true" outlineLevel="0" collapsed="false">
      <c r="A7" s="18" t="n">
        <f aca="false">IF(AND(DATE(2026,10,4)&gt;=Setup!$B$4,DATE(2026,10,4)&lt;=Setup!$B$4+Setup!$B$5-1),Setup!$B$6+(DATE(2026,10,4)-Setup!$B$4)*Setup!$B$7,"")</f>
        <v>91</v>
      </c>
      <c r="B7" s="17" t="n">
        <f aca="false">IF(AND(DATE(2026,10,5)&gt;=Setup!$B$4,DATE(2026,10,5)&lt;=Setup!$B$4+Setup!$B$5-1),Setup!$B$6+(DATE(2026,10,5)-Setup!$B$4)*Setup!$B$7,"")</f>
        <v>92</v>
      </c>
      <c r="C7" s="17" t="n">
        <f aca="false">IF(AND(DATE(2026,10,6)&gt;=Setup!$B$4,DATE(2026,10,6)&lt;=Setup!$B$4+Setup!$B$5-1),Setup!$B$6+(DATE(2026,10,6)-Setup!$B$4)*Setup!$B$7,"")</f>
        <v>93</v>
      </c>
      <c r="D7" s="17" t="n">
        <f aca="false">IF(AND(DATE(2026,10,7)&gt;=Setup!$B$4,DATE(2026,10,7)&lt;=Setup!$B$4+Setup!$B$5-1),Setup!$B$6+(DATE(2026,10,7)-Setup!$B$4)*Setup!$B$7,"")</f>
        <v>94</v>
      </c>
      <c r="E7" s="17" t="n">
        <f aca="false">IF(AND(DATE(2026,10,8)&gt;=Setup!$B$4,DATE(2026,10,8)&lt;=Setup!$B$4+Setup!$B$5-1),Setup!$B$6+(DATE(2026,10,8)-Setup!$B$4)*Setup!$B$7,"")</f>
        <v>95</v>
      </c>
      <c r="F7" s="17" t="n">
        <f aca="false">IF(AND(DATE(2026,10,9)&gt;=Setup!$B$4,DATE(2026,10,9)&lt;=Setup!$B$4+Setup!$B$5-1),Setup!$B$6+(DATE(2026,10,9)-Setup!$B$4)*Setup!$B$7,"")</f>
        <v>96</v>
      </c>
      <c r="G7" s="18" t="n">
        <f aca="false">IF(AND(DATE(2026,10,10)&gt;=Setup!$B$4,DATE(2026,10,10)&lt;=Setup!$B$4+Setup!$B$5-1),Setup!$B$6+(DATE(2026,10,10)-Setup!$B$4)*Setup!$B$7,"")</f>
        <v>97</v>
      </c>
      <c r="H7" s="16"/>
    </row>
    <row r="8" customFormat="false" ht="30" hidden="false" customHeight="true" outlineLevel="0" collapsed="false">
      <c r="A8" s="19"/>
      <c r="B8" s="19"/>
      <c r="C8" s="19"/>
      <c r="D8" s="19"/>
      <c r="E8" s="19"/>
      <c r="F8" s="19"/>
      <c r="G8" s="19"/>
      <c r="H8" s="16"/>
    </row>
    <row r="9" customFormat="false" ht="24" hidden="false" customHeight="true" outlineLevel="0" collapsed="false">
      <c r="A9" s="15" t="n">
        <v>11</v>
      </c>
      <c r="B9" s="14" t="n">
        <v>12</v>
      </c>
      <c r="C9" s="14" t="n">
        <v>13</v>
      </c>
      <c r="D9" s="14" t="n">
        <v>14</v>
      </c>
      <c r="E9" s="14" t="n">
        <v>15</v>
      </c>
      <c r="F9" s="14" t="n">
        <v>16</v>
      </c>
      <c r="G9" s="15" t="n">
        <v>17</v>
      </c>
      <c r="H9" s="16" t="n">
        <f aca="false">SUMPRODUCT((UPPER(A11:G11)="Y")*IF(A10:G10="",0,A10:G10))</f>
        <v>0</v>
      </c>
    </row>
    <row r="10" customFormat="false" ht="33.75" hidden="false" customHeight="true" outlineLevel="0" collapsed="false">
      <c r="A10" s="18" t="n">
        <f aca="false">IF(AND(DATE(2026,10,11)&gt;=Setup!$B$4,DATE(2026,10,11)&lt;=Setup!$B$4+Setup!$B$5-1),Setup!$B$6+(DATE(2026,10,11)-Setup!$B$4)*Setup!$B$7,"")</f>
        <v>98</v>
      </c>
      <c r="B10" s="17" t="n">
        <f aca="false">IF(AND(DATE(2026,10,12)&gt;=Setup!$B$4,DATE(2026,10,12)&lt;=Setup!$B$4+Setup!$B$5-1),Setup!$B$6+(DATE(2026,10,12)-Setup!$B$4)*Setup!$B$7,"")</f>
        <v>99</v>
      </c>
      <c r="C10" s="17" t="n">
        <f aca="false">IF(AND(DATE(2026,10,13)&gt;=Setup!$B$4,DATE(2026,10,13)&lt;=Setup!$B$4+Setup!$B$5-1),Setup!$B$6+(DATE(2026,10,13)-Setup!$B$4)*Setup!$B$7,"")</f>
        <v>100</v>
      </c>
      <c r="D10" s="17" t="str">
        <f aca="false">IF(AND(DATE(2026,10,14)&gt;=Setup!$B$4,DATE(2026,10,14)&lt;=Setup!$B$4+Setup!$B$5-1),Setup!$B$6+(DATE(2026,10,14)-Setup!$B$4)*Setup!$B$7,"")</f>
        <v/>
      </c>
      <c r="E10" s="17" t="str">
        <f aca="false">IF(AND(DATE(2026,10,15)&gt;=Setup!$B$4,DATE(2026,10,15)&lt;=Setup!$B$4+Setup!$B$5-1),Setup!$B$6+(DATE(2026,10,15)-Setup!$B$4)*Setup!$B$7,"")</f>
        <v/>
      </c>
      <c r="F10" s="17" t="str">
        <f aca="false">IF(AND(DATE(2026,10,16)&gt;=Setup!$B$4,DATE(2026,10,16)&lt;=Setup!$B$4+Setup!$B$5-1),Setup!$B$6+(DATE(2026,10,16)-Setup!$B$4)*Setup!$B$7,"")</f>
        <v/>
      </c>
      <c r="G10" s="18" t="str">
        <f aca="false">IF(AND(DATE(2026,10,17)&gt;=Setup!$B$4,DATE(2026,10,17)&lt;=Setup!$B$4+Setup!$B$5-1),Setup!$B$6+(DATE(2026,10,17)-Setup!$B$4)*Setup!$B$7,"")</f>
        <v/>
      </c>
      <c r="H10" s="16"/>
    </row>
    <row r="11" customFormat="false" ht="30" hidden="false" customHeight="true" outlineLevel="0" collapsed="false">
      <c r="A11" s="19"/>
      <c r="B11" s="19"/>
      <c r="C11" s="19"/>
      <c r="D11" s="19"/>
      <c r="E11" s="19"/>
      <c r="F11" s="19"/>
      <c r="G11" s="19"/>
      <c r="H11" s="16"/>
    </row>
    <row r="12" customFormat="false" ht="24" hidden="false" customHeight="true" outlineLevel="0" collapsed="false">
      <c r="A12" s="15" t="n">
        <v>18</v>
      </c>
      <c r="B12" s="14" t="n">
        <v>19</v>
      </c>
      <c r="C12" s="14" t="n">
        <v>20</v>
      </c>
      <c r="D12" s="14" t="n">
        <v>21</v>
      </c>
      <c r="E12" s="14" t="n">
        <v>22</v>
      </c>
      <c r="F12" s="14" t="n">
        <v>23</v>
      </c>
      <c r="G12" s="15" t="n">
        <v>24</v>
      </c>
      <c r="H12" s="16" t="n">
        <f aca="false">SUMPRODUCT((UPPER(A14:G14)="Y")*IF(A13:G13="",0,A13:G13))</f>
        <v>0</v>
      </c>
    </row>
    <row r="13" customFormat="false" ht="33.75" hidden="false" customHeight="true" outlineLevel="0" collapsed="false">
      <c r="A13" s="18" t="str">
        <f aca="false">IF(AND(DATE(2026,10,18)&gt;=Setup!$B$4,DATE(2026,10,18)&lt;=Setup!$B$4+Setup!$B$5-1),Setup!$B$6+(DATE(2026,10,18)-Setup!$B$4)*Setup!$B$7,"")</f>
        <v/>
      </c>
      <c r="B13" s="17" t="str">
        <f aca="false">IF(AND(DATE(2026,10,19)&gt;=Setup!$B$4,DATE(2026,10,19)&lt;=Setup!$B$4+Setup!$B$5-1),Setup!$B$6+(DATE(2026,10,19)-Setup!$B$4)*Setup!$B$7,"")</f>
        <v/>
      </c>
      <c r="C13" s="17" t="str">
        <f aca="false">IF(AND(DATE(2026,10,20)&gt;=Setup!$B$4,DATE(2026,10,20)&lt;=Setup!$B$4+Setup!$B$5-1),Setup!$B$6+(DATE(2026,10,20)-Setup!$B$4)*Setup!$B$7,"")</f>
        <v/>
      </c>
      <c r="D13" s="17" t="str">
        <f aca="false">IF(AND(DATE(2026,10,21)&gt;=Setup!$B$4,DATE(2026,10,21)&lt;=Setup!$B$4+Setup!$B$5-1),Setup!$B$6+(DATE(2026,10,21)-Setup!$B$4)*Setup!$B$7,"")</f>
        <v/>
      </c>
      <c r="E13" s="17" t="str">
        <f aca="false">IF(AND(DATE(2026,10,22)&gt;=Setup!$B$4,DATE(2026,10,22)&lt;=Setup!$B$4+Setup!$B$5-1),Setup!$B$6+(DATE(2026,10,22)-Setup!$B$4)*Setup!$B$7,"")</f>
        <v/>
      </c>
      <c r="F13" s="17" t="str">
        <f aca="false">IF(AND(DATE(2026,10,23)&gt;=Setup!$B$4,DATE(2026,10,23)&lt;=Setup!$B$4+Setup!$B$5-1),Setup!$B$6+(DATE(2026,10,23)-Setup!$B$4)*Setup!$B$7,"")</f>
        <v/>
      </c>
      <c r="G13" s="18" t="str">
        <f aca="false">IF(AND(DATE(2026,10,24)&gt;=Setup!$B$4,DATE(2026,10,24)&lt;=Setup!$B$4+Setup!$B$5-1),Setup!$B$6+(DATE(2026,10,24)-Setup!$B$4)*Setup!$B$7,"")</f>
        <v/>
      </c>
      <c r="H13" s="16"/>
    </row>
    <row r="14" customFormat="false" ht="30" hidden="false" customHeight="true" outlineLevel="0" collapsed="false">
      <c r="A14" s="19"/>
      <c r="B14" s="19"/>
      <c r="C14" s="19"/>
      <c r="D14" s="19"/>
      <c r="E14" s="19"/>
      <c r="F14" s="19"/>
      <c r="G14" s="19"/>
      <c r="H14" s="16"/>
    </row>
    <row r="15" customFormat="false" ht="24" hidden="false" customHeight="true" outlineLevel="0" collapsed="false">
      <c r="A15" s="15" t="n">
        <v>25</v>
      </c>
      <c r="B15" s="14" t="n">
        <v>26</v>
      </c>
      <c r="C15" s="14" t="n">
        <v>27</v>
      </c>
      <c r="D15" s="14" t="n">
        <v>28</v>
      </c>
      <c r="E15" s="14" t="n">
        <v>29</v>
      </c>
      <c r="F15" s="14" t="n">
        <v>30</v>
      </c>
      <c r="G15" s="15" t="n">
        <v>31</v>
      </c>
      <c r="H15" s="16" t="n">
        <f aca="false">SUMPRODUCT((UPPER(A17:G17)="Y")*IF(A16:G16="",0,A16:G16))</f>
        <v>0</v>
      </c>
    </row>
    <row r="16" customFormat="false" ht="33.75" hidden="false" customHeight="true" outlineLevel="0" collapsed="false">
      <c r="A16" s="18" t="str">
        <f aca="false">IF(AND(DATE(2026,10,25)&gt;=Setup!$B$4,DATE(2026,10,25)&lt;=Setup!$B$4+Setup!$B$5-1),Setup!$B$6+(DATE(2026,10,25)-Setup!$B$4)*Setup!$B$7,"")</f>
        <v/>
      </c>
      <c r="B16" s="17" t="str">
        <f aca="false">IF(AND(DATE(2026,10,26)&gt;=Setup!$B$4,DATE(2026,10,26)&lt;=Setup!$B$4+Setup!$B$5-1),Setup!$B$6+(DATE(2026,10,26)-Setup!$B$4)*Setup!$B$7,"")</f>
        <v/>
      </c>
      <c r="C16" s="17" t="str">
        <f aca="false">IF(AND(DATE(2026,10,27)&gt;=Setup!$B$4,DATE(2026,10,27)&lt;=Setup!$B$4+Setup!$B$5-1),Setup!$B$6+(DATE(2026,10,27)-Setup!$B$4)*Setup!$B$7,"")</f>
        <v/>
      </c>
      <c r="D16" s="17" t="str">
        <f aca="false">IF(AND(DATE(2026,10,28)&gt;=Setup!$B$4,DATE(2026,10,28)&lt;=Setup!$B$4+Setup!$B$5-1),Setup!$B$6+(DATE(2026,10,28)-Setup!$B$4)*Setup!$B$7,"")</f>
        <v/>
      </c>
      <c r="E16" s="17" t="str">
        <f aca="false">IF(AND(DATE(2026,10,29)&gt;=Setup!$B$4,DATE(2026,10,29)&lt;=Setup!$B$4+Setup!$B$5-1),Setup!$B$6+(DATE(2026,10,29)-Setup!$B$4)*Setup!$B$7,"")</f>
        <v/>
      </c>
      <c r="F16" s="17" t="str">
        <f aca="false">IF(AND(DATE(2026,10,30)&gt;=Setup!$B$4,DATE(2026,10,30)&lt;=Setup!$B$4+Setup!$B$5-1),Setup!$B$6+(DATE(2026,10,30)-Setup!$B$4)*Setup!$B$7,"")</f>
        <v/>
      </c>
      <c r="G16" s="18" t="str">
        <f aca="false">IF(AND(DATE(2026,10,31)&gt;=Setup!$B$4,DATE(2026,10,31)&lt;=Setup!$B$4+Setup!$B$5-1),Setup!$B$6+(DATE(2026,10,31)-Setup!$B$4)*Setup!$B$7,"")</f>
        <v/>
      </c>
      <c r="H16" s="16"/>
    </row>
    <row r="17" customFormat="false" ht="30" hidden="false" customHeight="true" outlineLevel="0" collapsed="false">
      <c r="A17" s="19"/>
      <c r="B17" s="19"/>
      <c r="C17" s="19"/>
      <c r="D17" s="19"/>
      <c r="E17" s="19"/>
      <c r="F17" s="19"/>
      <c r="G17" s="19"/>
      <c r="H17" s="16"/>
    </row>
    <row r="18" customFormat="false" ht="31.5" hidden="false" customHeight="true" outlineLevel="0" collapsed="false">
      <c r="A18" s="20" t="s">
        <v>17</v>
      </c>
      <c r="B18" s="20"/>
      <c r="C18" s="20"/>
      <c r="D18" s="20"/>
      <c r="E18" s="20"/>
      <c r="F18" s="20"/>
      <c r="G18" s="20"/>
      <c r="H18" s="21" t="n">
        <f aca="false">H3+H6+H9+H12+H15</f>
        <v>0</v>
      </c>
    </row>
    <row r="20" customFormat="false" ht="21.75" hidden="false" customHeight="true" outlineLevel="0" collapsed="false">
      <c r="A20" s="22" t="s">
        <v>18</v>
      </c>
      <c r="B20" s="22"/>
      <c r="C20" s="22"/>
      <c r="D20" s="22"/>
      <c r="E20" s="22"/>
      <c r="F20" s="22"/>
      <c r="G20" s="22"/>
      <c r="H20" s="22"/>
    </row>
  </sheetData>
  <mergeCells count="8">
    <mergeCell ref="A1:H1"/>
    <mergeCell ref="H3:H5"/>
    <mergeCell ref="H6:H8"/>
    <mergeCell ref="H9:H11"/>
    <mergeCell ref="H12:H14"/>
    <mergeCell ref="H15:H17"/>
    <mergeCell ref="A18:G18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2026-07-06T02:46:19Z</dcterms:created>
  <dc:creator>openpyxl</dc:creator>
  <dc:description/>
  <dc:language>en-US</dc:language>
  <cp:lastModifiedBy/>
  <dcterms:modified xsi:type="dcterms:W3CDTF">2026-07-06T02:46:19Z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